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Cost Summary" sheetId="1" state="visible" r:id="rId1"/>
    <sheet xmlns:r="http://schemas.openxmlformats.org/officeDocument/2006/relationships" name="Provider Comparison" sheetId="2" state="visible" r:id="rId2"/>
    <sheet xmlns:r="http://schemas.openxmlformats.org/officeDocument/2006/relationships" name="Runware FLUX Pricing" sheetId="3" state="visible" r:id="rId3"/>
    <sheet xmlns:r="http://schemas.openxmlformats.org/officeDocument/2006/relationships" name="STT Pricing" sheetId="4" state="visible" r:id="rId4"/>
    <sheet xmlns:r="http://schemas.openxmlformats.org/officeDocument/2006/relationships" name="Moderation Pric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$0.0000"/>
    <numFmt numFmtId="165" formatCode="$0.000"/>
    <numFmt numFmtId="166" formatCode="$0.000000"/>
    <numFmt numFmtId="167" formatCode="$0.00"/>
    <numFmt numFmtId="168" formatCode="$0.0000000"/>
    <numFmt numFmtId="169" formatCode="&quot;₹&quot;0.0000"/>
    <numFmt numFmtId="170" formatCode="&quot;₹&quot;#,##0.00"/>
    <numFmt numFmtId="171" formatCode="&quot;₹&quot;#,##0"/>
    <numFmt numFmtId="172" formatCode="$#,##0.00"/>
    <numFmt numFmtId="173" formatCode="$#,##0"/>
    <numFmt numFmtId="174" formatCode="$0.00000"/>
  </numFmts>
  <fonts count="13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color rgb="000000FF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2"/>
    </font>
    <font>
      <name val="Arial"/>
      <b val="1"/>
      <sz val="10"/>
    </font>
    <font>
      <sz val="10"/>
    </font>
    <font>
      <b val="1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3" borderId="0" pivotButton="0" quotePrefix="0" xfId="0"/>
    <xf numFmtId="0" fontId="6" fillId="0" borderId="1" pivotButton="0" quotePrefix="0" xfId="0"/>
    <xf numFmtId="164" fontId="7" fillId="0" borderId="1" pivotButton="0" quotePrefix="0" xfId="0"/>
    <xf numFmtId="169" fontId="10" fillId="0" borderId="0" pivotButton="0" quotePrefix="0" xfId="0"/>
    <xf numFmtId="165" fontId="7" fillId="0" borderId="1" pivotButton="0" quotePrefix="0" xfId="0"/>
    <xf numFmtId="170" fontId="10" fillId="0" borderId="0" pivotButton="0" quotePrefix="0" xfId="0"/>
    <xf numFmtId="1" fontId="7" fillId="0" borderId="1" pivotButton="0" quotePrefix="0" xfId="0"/>
    <xf numFmtId="166" fontId="6" fillId="0" borderId="1" pivotButton="0" quotePrefix="0" xfId="0"/>
    <xf numFmtId="167" fontId="7" fillId="0" borderId="1" pivotButton="0" quotePrefix="0" xfId="0"/>
    <xf numFmtId="168" fontId="6" fillId="0" borderId="1" pivotButton="0" quotePrefix="0" xfId="0"/>
    <xf numFmtId="0" fontId="8" fillId="2" borderId="1" pivotButton="0" quotePrefix="0" xfId="0"/>
    <xf numFmtId="0" fontId="9" fillId="4" borderId="1" pivotButton="0" quotePrefix="0" xfId="0"/>
    <xf numFmtId="0" fontId="6" fillId="4" borderId="1" pivotButton="0" quotePrefix="0" xfId="0"/>
    <xf numFmtId="166" fontId="9" fillId="4" borderId="1" pivotButton="0" quotePrefix="0" xfId="0"/>
    <xf numFmtId="169" fontId="11" fillId="4" borderId="0" pivotButton="0" quotePrefix="0" xfId="0"/>
    <xf numFmtId="167" fontId="9" fillId="4" borderId="1" pivotButton="0" quotePrefix="0" xfId="0"/>
    <xf numFmtId="170" fontId="11" fillId="4" borderId="0" pivotButton="0" quotePrefix="0" xfId="0"/>
    <xf numFmtId="171" fontId="11" fillId="4" borderId="0" pivotButton="0" quotePrefix="0" xfId="0"/>
    <xf numFmtId="0" fontId="9" fillId="5" borderId="1" pivotButton="0" quotePrefix="0" xfId="0"/>
    <xf numFmtId="0" fontId="6" fillId="5" borderId="1" pivotButton="0" quotePrefix="0" xfId="0"/>
    <xf numFmtId="166" fontId="9" fillId="5" borderId="1" pivotButton="0" quotePrefix="0" xfId="0"/>
    <xf numFmtId="169" fontId="11" fillId="5" borderId="0" pivotButton="0" quotePrefix="0" xfId="0"/>
    <xf numFmtId="167" fontId="9" fillId="5" borderId="1" pivotButton="0" quotePrefix="0" xfId="0"/>
    <xf numFmtId="170" fontId="11" fillId="5" borderId="0" pivotButton="0" quotePrefix="0" xfId="0"/>
    <xf numFmtId="171" fontId="11" fillId="5" borderId="0" pivotButton="0" quotePrefix="0" xfId="0"/>
    <xf numFmtId="0" fontId="9" fillId="6" borderId="1" pivotButton="0" quotePrefix="0" xfId="0"/>
    <xf numFmtId="0" fontId="6" fillId="6" borderId="1" pivotButton="0" quotePrefix="0" xfId="0"/>
    <xf numFmtId="166" fontId="9" fillId="6" borderId="1" pivotButton="0" quotePrefix="0" xfId="0"/>
    <xf numFmtId="169" fontId="11" fillId="6" borderId="0" pivotButton="0" quotePrefix="0" xfId="0"/>
    <xf numFmtId="167" fontId="9" fillId="6" borderId="1" pivotButton="0" quotePrefix="0" xfId="0"/>
    <xf numFmtId="170" fontId="11" fillId="6" borderId="0" pivotButton="0" quotePrefix="0" xfId="0"/>
    <xf numFmtId="171" fontId="11" fillId="6" borderId="0" pivotButton="0" quotePrefix="0" xfId="0"/>
    <xf numFmtId="0" fontId="9" fillId="7" borderId="1" pivotButton="0" quotePrefix="0" xfId="0"/>
    <xf numFmtId="0" fontId="6" fillId="7" borderId="1" pivotButton="0" quotePrefix="0" xfId="0"/>
    <xf numFmtId="166" fontId="9" fillId="7" borderId="1" pivotButton="0" quotePrefix="0" xfId="0"/>
    <xf numFmtId="169" fontId="11" fillId="7" borderId="0" pivotButton="0" quotePrefix="0" xfId="0"/>
    <xf numFmtId="167" fontId="9" fillId="7" borderId="1" pivotButton="0" quotePrefix="0" xfId="0"/>
    <xf numFmtId="170" fontId="11" fillId="7" borderId="0" pivotButton="0" quotePrefix="0" xfId="0"/>
    <xf numFmtId="171" fontId="11" fillId="7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10" fillId="0" borderId="0" pivotButton="0" quotePrefix="0" xfId="0"/>
    <xf numFmtId="164" fontId="7" fillId="0" borderId="1" applyAlignment="1" pivotButton="0" quotePrefix="0" xfId="0">
      <alignment vertical="top" wrapText="1"/>
    </xf>
    <xf numFmtId="172" fontId="6" fillId="0" borderId="1" applyAlignment="1" pivotButton="0" quotePrefix="0" xfId="0">
      <alignment vertical="top" wrapText="1"/>
    </xf>
    <xf numFmtId="173" fontId="6" fillId="0" borderId="1" applyAlignment="1" pivotButton="0" quotePrefix="0" xfId="0">
      <alignment vertical="top" wrapText="1"/>
    </xf>
    <xf numFmtId="171" fontId="10" fillId="0" borderId="0" pivotButton="0" quotePrefix="0" xfId="0"/>
    <xf numFmtId="0" fontId="9" fillId="0" borderId="0" pivotButton="0" quotePrefix="0" xfId="0"/>
    <xf numFmtId="3" fontId="7" fillId="8" borderId="0" pivotButton="0" quotePrefix="0" xfId="0"/>
    <xf numFmtId="0" fontId="12" fillId="0" borderId="0" pivotButton="0" quotePrefix="0" xfId="0"/>
    <xf numFmtId="0" fontId="8" fillId="0" borderId="0" pivotButton="0" quotePrefix="0" xfId="0"/>
    <xf numFmtId="174" fontId="7" fillId="0" borderId="1" pivotButton="0" quotePrefix="0" xfId="0"/>
    <xf numFmtId="3" fontId="6" fillId="0" borderId="1" pivotButton="0" quotePrefix="0" xfId="0"/>
    <xf numFmtId="165" fontId="7" fillId="0" borderId="1" applyAlignment="1" pivotButton="0" quotePrefix="0" xfId="0">
      <alignment vertical="top" wrapText="1"/>
    </xf>
    <xf numFmtId="2" fontId="7" fillId="0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0" customWidth="1" min="4" max="4"/>
    <col width="16" customWidth="1" min="5" max="5"/>
    <col width="13" customWidth="1" min="6" max="6"/>
    <col width="18" customWidth="1" min="7" max="7"/>
    <col width="14" customWidth="1" min="8" max="8"/>
  </cols>
  <sheetData>
    <row r="1">
      <c r="A1" s="1" t="inlineStr">
        <is>
          <t>Total pipeline cost per image: STT + Moderation + Image Generation</t>
        </is>
      </c>
    </row>
    <row r="2">
      <c r="A2" s="2" t="inlineStr">
        <is>
          <t>One voice-to-image interaction = 1 STT call (~6 s utterance) + 1 moderation check (~150 in / 20 out tokens) + 1 image. Prices verified July 2026.</t>
        </is>
      </c>
    </row>
    <row r="3">
      <c r="A3" t="inlineStr">
        <is>
          <t>USD→INR rate (2026-07-08):</t>
        </is>
      </c>
      <c r="B3" s="3" t="n">
        <v>95.61</v>
      </c>
    </row>
    <row r="4">
      <c r="A4" s="4" t="inlineStr">
        <is>
          <t>1. IMAGE GENERATION</t>
        </is>
      </c>
    </row>
    <row r="5">
      <c r="A5" s="5" t="inlineStr">
        <is>
          <t>Provider / Model</t>
        </is>
      </c>
      <c r="B5" s="5" t="inlineStr">
        <is>
          <t>Cost per image</t>
        </is>
      </c>
      <c r="C5" s="6" t="inlineStr">
        <is>
          <t>₹ / image</t>
        </is>
      </c>
      <c r="D5" s="5" t="inlineStr">
        <is>
          <t>Note</t>
        </is>
      </c>
    </row>
    <row r="6">
      <c r="A6" s="7" t="inlineStr">
        <is>
          <t>Runware — FLUX.2 klein 4B</t>
        </is>
      </c>
      <c r="B6" s="8" t="n">
        <v>0.0005999999999999999</v>
      </c>
      <c r="C6" s="9">
        <f>B6*$B$3</f>
        <v/>
      </c>
      <c r="D6" s="7" t="inlineStr">
        <is>
          <t>Cheapest; primary candidate</t>
        </is>
      </c>
    </row>
    <row r="7">
      <c r="A7" s="7" t="inlineStr">
        <is>
          <t>DeepInfra — FLUX schnell</t>
        </is>
      </c>
      <c r="B7" s="8" t="n">
        <v>0.002</v>
      </c>
      <c r="C7" s="9">
        <f>B7*$B$3</f>
        <v/>
      </c>
      <c r="D7" s="7" t="inlineStr">
        <is>
          <t>Fast cost-floor backup</t>
        </is>
      </c>
    </row>
    <row r="8">
      <c r="A8" s="7" t="inlineStr">
        <is>
          <t>fal.ai — FLUX.1 schnell</t>
        </is>
      </c>
      <c r="B8" s="8" t="n">
        <v>0.003</v>
      </c>
      <c r="C8" s="9">
        <f>B8*$B$3</f>
        <v/>
      </c>
      <c r="D8" s="7" t="inlineStr">
        <is>
          <t>Best latency + built-in safety checker</t>
        </is>
      </c>
    </row>
    <row r="9">
      <c r="A9" s="7" t="inlineStr">
        <is>
          <t>Together AI — FLUX schnell</t>
        </is>
      </c>
      <c r="B9" s="8" t="n">
        <v>0.003</v>
      </c>
      <c r="C9" s="9">
        <f>B9*$B$3</f>
        <v/>
      </c>
      <c r="D9" s="7" t="inlineStr">
        <is>
          <t>Confirm availability</t>
        </is>
      </c>
    </row>
    <row r="10">
      <c r="A10" s="7" t="inlineStr">
        <is>
          <t>Replicate — FLUX schnell</t>
        </is>
      </c>
      <c r="B10" s="8" t="n">
        <v>0.003</v>
      </c>
      <c r="C10" s="9">
        <f>B10*$B$3</f>
        <v/>
      </c>
      <c r="D10" s="7" t="inlineStr">
        <is>
          <t>Most variable latency</t>
        </is>
      </c>
    </row>
    <row r="11">
      <c r="A11" s="7" t="inlineStr">
        <is>
          <t>Google Imagen 4 Fast (Vertex)</t>
        </is>
      </c>
      <c r="B11" s="8" t="n">
        <v>0.02</v>
      </c>
      <c r="C11" s="9">
        <f>B11*$B$3</f>
        <v/>
      </c>
      <c r="D11" s="7" t="inlineStr">
        <is>
          <t>Best safety controls + GCP SLA</t>
        </is>
      </c>
    </row>
    <row r="13">
      <c r="A13" s="4" t="inlineStr">
        <is>
          <t>2. SPEECH-TO-TEXT</t>
        </is>
      </c>
    </row>
    <row r="14">
      <c r="A14" s="5" t="inlineStr">
        <is>
          <t>Provider / Model</t>
        </is>
      </c>
      <c r="B14" s="5" t="inlineStr">
        <is>
          <t>$ per hour</t>
        </is>
      </c>
      <c r="C14" s="6" t="inlineStr">
        <is>
          <t>₹ per hour</t>
        </is>
      </c>
      <c r="D14" s="5" t="inlineStr">
        <is>
          <t>Billed sec/utterance</t>
        </is>
      </c>
      <c r="E14" s="5" t="inlineStr">
        <is>
          <t>Cost per utterance</t>
        </is>
      </c>
      <c r="F14" s="6" t="inlineStr">
        <is>
          <t>₹ / utterance</t>
        </is>
      </c>
    </row>
    <row r="15">
      <c r="A15" s="7" t="inlineStr">
        <is>
          <t>Groq — Whisper large-v3-turbo</t>
        </is>
      </c>
      <c r="B15" s="10" t="n">
        <v>0.04</v>
      </c>
      <c r="C15" s="11">
        <f>B15*$B$3</f>
        <v/>
      </c>
      <c r="D15" s="12" t="n">
        <v>10</v>
      </c>
      <c r="E15" s="13">
        <f>B15*D15/3600</f>
        <v/>
      </c>
      <c r="F15" s="9">
        <f>E15*$B$3</f>
        <v/>
      </c>
      <c r="G15" s="7" t="inlineStr">
        <is>
          <t>10 s billing minimum</t>
        </is>
      </c>
    </row>
    <row r="16">
      <c r="A16" s="7" t="inlineStr">
        <is>
          <t>Groq — Whisper large-v3 (current)</t>
        </is>
      </c>
      <c r="B16" s="10" t="n">
        <v>0.111</v>
      </c>
      <c r="C16" s="11">
        <f>B16*$B$3</f>
        <v/>
      </c>
      <c r="D16" s="12" t="n">
        <v>10</v>
      </c>
      <c r="E16" s="13">
        <f>B16*D16/3600</f>
        <v/>
      </c>
      <c r="F16" s="9">
        <f>E16*$B$3</f>
        <v/>
      </c>
      <c r="G16" s="7" t="inlineStr">
        <is>
          <t>10 s billing minimum</t>
        </is>
      </c>
    </row>
    <row r="17">
      <c r="A17" s="7" t="inlineStr">
        <is>
          <t>Deepgram — Nova-3 English</t>
        </is>
      </c>
      <c r="B17" s="10" t="n">
        <v>0.258</v>
      </c>
      <c r="C17" s="11">
        <f>B17*$B$3</f>
        <v/>
      </c>
      <c r="D17" s="12" t="n">
        <v>6</v>
      </c>
      <c r="E17" s="13">
        <f>B17*D17/3600</f>
        <v/>
      </c>
      <c r="F17" s="9">
        <f>E17*$B$3</f>
        <v/>
      </c>
      <c r="G17" s="7" t="inlineStr">
        <is>
          <t>Per-second billing</t>
        </is>
      </c>
    </row>
    <row r="18">
      <c r="A18" s="7" t="inlineStr">
        <is>
          <t>Deepgram — Nova-3 multilingual</t>
        </is>
      </c>
      <c r="B18" s="10" t="n">
        <v>0.312</v>
      </c>
      <c r="C18" s="11">
        <f>B18*$B$3</f>
        <v/>
      </c>
      <c r="D18" s="12" t="n">
        <v>6</v>
      </c>
      <c r="E18" s="13">
        <f>B18*D18/3600</f>
        <v/>
      </c>
      <c r="F18" s="9">
        <f>E18*$B$3</f>
        <v/>
      </c>
      <c r="G18" s="7" t="inlineStr">
        <is>
          <t>Per-second billing</t>
        </is>
      </c>
    </row>
    <row r="19">
      <c r="A19" s="7" t="inlineStr">
        <is>
          <t>Sarvam — Saarika</t>
        </is>
      </c>
      <c r="B19" s="10" t="n">
        <v>0.36</v>
      </c>
      <c r="C19" s="11">
        <f>B19*$B$3</f>
        <v/>
      </c>
      <c r="D19" s="12" t="n">
        <v>60</v>
      </c>
      <c r="E19" s="13">
        <f>B19*D19/3600</f>
        <v/>
      </c>
      <c r="F19" s="9">
        <f>E19*$B$3</f>
        <v/>
      </c>
      <c r="G19" s="7" t="inlineStr">
        <is>
          <t>Billed per audio minute</t>
        </is>
      </c>
    </row>
    <row r="20">
      <c r="A20" s="7" t="inlineStr">
        <is>
          <t>OpenAI — gpt-4o-mini-transcribe</t>
        </is>
      </c>
      <c r="B20" s="10" t="n">
        <v>0.18</v>
      </c>
      <c r="C20" s="11">
        <f>B20*$B$3</f>
        <v/>
      </c>
      <c r="D20" s="12" t="n">
        <v>6</v>
      </c>
      <c r="E20" s="13">
        <f>B20*D20/3600</f>
        <v/>
      </c>
      <c r="F20" s="9">
        <f>E20*$B$3</f>
        <v/>
      </c>
      <c r="G20" s="7" t="n"/>
    </row>
    <row r="22">
      <c r="A22" s="4" t="inlineStr">
        <is>
          <t>3. MODERATION</t>
        </is>
      </c>
    </row>
    <row r="23">
      <c r="A23" s="5" t="inlineStr">
        <is>
          <t>Provider / Model</t>
        </is>
      </c>
      <c r="B23" s="5" t="inlineStr">
        <is>
          <t>Input $/1M</t>
        </is>
      </c>
      <c r="C23" s="6" t="inlineStr">
        <is>
          <t>Input ₹/1M</t>
        </is>
      </c>
      <c r="D23" s="5" t="inlineStr">
        <is>
          <t>Output $/1M</t>
        </is>
      </c>
      <c r="E23" s="6" t="inlineStr">
        <is>
          <t>Output ₹/1M</t>
        </is>
      </c>
      <c r="F23" s="5" t="inlineStr">
        <is>
          <t>Cost per check</t>
        </is>
      </c>
      <c r="G23" s="6" t="inlineStr">
        <is>
          <t>₹ / check</t>
        </is>
      </c>
    </row>
    <row r="24">
      <c r="A24" s="7" t="inlineStr">
        <is>
          <t>Groq — llama-3.1-8b-instant (current)</t>
        </is>
      </c>
      <c r="B24" s="14" t="n">
        <v>0.05</v>
      </c>
      <c r="C24" s="11">
        <f>B24*$B$3</f>
        <v/>
      </c>
      <c r="D24" s="14" t="n">
        <v>0.08</v>
      </c>
      <c r="E24" s="11">
        <f>D24*$B$3</f>
        <v/>
      </c>
      <c r="F24" s="15">
        <f>(B24*150+D24*20)/1000000</f>
        <v/>
      </c>
      <c r="G24" s="9">
        <f>F24*$B$3</f>
        <v/>
      </c>
      <c r="H24" s="7" t="inlineStr">
        <is>
          <t>Fastest; shared key</t>
        </is>
      </c>
    </row>
    <row r="25">
      <c r="A25" s="7" t="inlineStr">
        <is>
          <t>OpenAI — omni-moderation-latest</t>
        </is>
      </c>
      <c r="B25" s="14" t="n">
        <v>0</v>
      </c>
      <c r="C25" s="11">
        <f>B25*$B$3</f>
        <v/>
      </c>
      <c r="D25" s="14" t="n">
        <v>0</v>
      </c>
      <c r="E25" s="11">
        <f>D25*$B$3</f>
        <v/>
      </c>
      <c r="F25" s="15">
        <f>(B25*150+D25*20)/1000000</f>
        <v/>
      </c>
      <c r="G25" s="9">
        <f>F25*$B$3</f>
        <v/>
      </c>
      <c r="H25" s="7" t="inlineStr">
        <is>
          <t>FREE classifier (NSFW categories only)</t>
        </is>
      </c>
    </row>
    <row r="26">
      <c r="A26" s="7" t="inlineStr">
        <is>
          <t>OpenAI — gpt-4o-mini</t>
        </is>
      </c>
      <c r="B26" s="14" t="n">
        <v>0.15</v>
      </c>
      <c r="C26" s="11">
        <f>B26*$B$3</f>
        <v/>
      </c>
      <c r="D26" s="14" t="n">
        <v>0.6</v>
      </c>
      <c r="E26" s="11">
        <f>D26*$B$3</f>
        <v/>
      </c>
      <c r="F26" s="15">
        <f>(B26*150+D26*20)/1000000</f>
        <v/>
      </c>
      <c r="G26" s="9">
        <f>F26*$B$3</f>
        <v/>
      </c>
      <c r="H26" s="7" t="inlineStr">
        <is>
          <t>Slower + 4x cost of Groq</t>
        </is>
      </c>
    </row>
    <row r="27">
      <c r="A27" s="7" t="inlineStr">
        <is>
          <t>OpenRouter — Gemma 3 4B</t>
        </is>
      </c>
      <c r="B27" s="14" t="n">
        <v>0.05</v>
      </c>
      <c r="C27" s="11">
        <f>B27*$B$3</f>
        <v/>
      </c>
      <c r="D27" s="14" t="n">
        <v>0.1</v>
      </c>
      <c r="E27" s="11">
        <f>D27*$B$3</f>
        <v/>
      </c>
      <c r="F27" s="15">
        <f>(B27*150+D27*20)/1000000</f>
        <v/>
      </c>
      <c r="G27" s="9">
        <f>F27*$B$3</f>
        <v/>
      </c>
      <c r="H27" s="7" t="inlineStr">
        <is>
          <t>Same price as Groq, extra hop</t>
        </is>
      </c>
    </row>
    <row r="28"/>
    <row r="29"/>
    <row r="30">
      <c r="A30" s="16" t="inlineStr">
        <is>
          <t>TOTAL COST (STT + Moderation + Image)</t>
        </is>
      </c>
    </row>
    <row r="31">
      <c r="A31" s="5" t="inlineStr">
        <is>
          <t>Scenario</t>
        </is>
      </c>
      <c r="B31" s="5" t="inlineStr">
        <is>
          <t>Stack</t>
        </is>
      </c>
      <c r="C31" s="5" t="inlineStr">
        <is>
          <t>1 image</t>
        </is>
      </c>
      <c r="D31" s="6" t="inlineStr">
        <is>
          <t>1 image (₹)</t>
        </is>
      </c>
      <c r="E31" s="5" t="inlineStr">
        <is>
          <t>3,000 images (1 day)</t>
        </is>
      </c>
      <c r="F31" s="6" t="inlineStr">
        <is>
          <t>1 day (₹)</t>
        </is>
      </c>
      <c r="G31" s="5" t="inlineStr">
        <is>
          <t>Per month (30 d)</t>
        </is>
      </c>
      <c r="H31" s="6" t="inlineStr">
        <is>
          <t>Per month (₹)</t>
        </is>
      </c>
    </row>
    <row r="32">
      <c r="A32" s="17" t="inlineStr">
        <is>
          <t>MINIMUM</t>
        </is>
      </c>
      <c r="B32" s="18" t="inlineStr">
        <is>
          <t>Groq turbo STT + free OpenAI moderation + Runware klein 4B</t>
        </is>
      </c>
      <c r="C32" s="19">
        <f>MIN(E15:E20)+MIN(F24:F27)+MIN(B6:B11)</f>
        <v/>
      </c>
      <c r="D32" s="20">
        <f>C32*$B$3</f>
        <v/>
      </c>
      <c r="E32" s="21">
        <f>C32*3000</f>
        <v/>
      </c>
      <c r="F32" s="22">
        <f>E32*$B$3</f>
        <v/>
      </c>
      <c r="G32" s="21">
        <f>E32*30</f>
        <v/>
      </c>
      <c r="H32" s="23">
        <f>G32*$B$3</f>
        <v/>
      </c>
    </row>
    <row r="33">
      <c r="A33" s="24" t="inlineStr">
        <is>
          <t>RECOMMENDED</t>
        </is>
      </c>
      <c r="B33" s="25" t="inlineStr">
        <is>
          <t>Groq turbo STT + Groq 8B moderation + Runware klein 4B (fal.ai fallback)</t>
        </is>
      </c>
      <c r="C33" s="26">
        <f>E15+F24+B6</f>
        <v/>
      </c>
      <c r="D33" s="27">
        <f>C33*$B$3</f>
        <v/>
      </c>
      <c r="E33" s="28">
        <f>C33*3000</f>
        <v/>
      </c>
      <c r="F33" s="29">
        <f>E33*$B$3</f>
        <v/>
      </c>
      <c r="G33" s="28">
        <f>E33*30</f>
        <v/>
      </c>
      <c r="H33" s="30">
        <f>G33*$B$3</f>
        <v/>
      </c>
    </row>
    <row r="34">
      <c r="A34" s="31" t="inlineStr">
        <is>
          <t>MAXIMUM</t>
        </is>
      </c>
      <c r="B34" s="32" t="inlineStr">
        <is>
          <t>Sarvam STT + gpt-4o-mini moderation + Google Imagen 4 Fast</t>
        </is>
      </c>
      <c r="C34" s="33">
        <f>MAX(E15:E20)+MAX(F24:F27)+MAX(B6:B11)</f>
        <v/>
      </c>
      <c r="D34" s="34">
        <f>C34*$B$3</f>
        <v/>
      </c>
      <c r="E34" s="35">
        <f>C34*3000</f>
        <v/>
      </c>
      <c r="F34" s="36">
        <f>E34*$B$3</f>
        <v/>
      </c>
      <c r="G34" s="35">
        <f>E34*30</f>
        <v/>
      </c>
      <c r="H34" s="37">
        <f>G34*$B$3</f>
        <v/>
      </c>
    </row>
    <row r="35">
      <c r="A35" s="38" t="inlineStr">
        <is>
          <t>SARVAM STACK</t>
        </is>
      </c>
      <c r="B35" s="39" t="inlineStr">
        <is>
          <t>Sarvam STT + free OpenAI moderation + Runware klein 4B</t>
        </is>
      </c>
      <c r="C35" s="40">
        <f>E19+F25+B6</f>
        <v/>
      </c>
      <c r="D35" s="41">
        <f>C35*$B$3</f>
        <v/>
      </c>
      <c r="E35" s="42">
        <f>C35*3000</f>
        <v/>
      </c>
      <c r="F35" s="43">
        <f>E35*$B$3</f>
        <v/>
      </c>
      <c r="G35" s="42">
        <f>E35*30</f>
        <v/>
      </c>
      <c r="H35" s="44">
        <f>G35*$B$3</f>
        <v/>
      </c>
    </row>
    <row r="36">
      <c r="A36" s="38" t="inlineStr">
        <is>
          <t>DEEPGRAM STACK</t>
        </is>
      </c>
      <c r="B36" s="39" t="inlineStr">
        <is>
          <t>Deepgram Nova-3 EN + free OpenAI moderation + Runware klein 4B</t>
        </is>
      </c>
      <c r="C36" s="40">
        <f>E17+F25+B6</f>
        <v/>
      </c>
      <c r="D36" s="41">
        <f>C36*$B$3</f>
        <v/>
      </c>
      <c r="E36" s="42">
        <f>C36*3000</f>
        <v/>
      </c>
      <c r="F36" s="43">
        <f>E36*$B$3</f>
        <v/>
      </c>
      <c r="G36" s="42">
        <f>E36*30</f>
        <v/>
      </c>
      <c r="H36" s="44">
        <f>G36*$B$3</f>
        <v/>
      </c>
    </row>
    <row r="37"/>
    <row r="38">
      <c r="A38" s="2" t="inlineStr">
        <is>
          <t>Even the MAXIMUM stack is dominated by image generation; STT and moderation are rounding errors. Blue cells are inputs — edit to re-scenario.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3" customWidth="1" min="8" max="8"/>
    <col width="16" customWidth="1" min="9" max="9"/>
    <col width="38" customWidth="1" min="10" max="10"/>
    <col width="34" customWidth="1" min="11" max="11"/>
    <col width="38" customWidth="1" min="12" max="12"/>
  </cols>
  <sheetData>
    <row r="1">
      <c r="A1" s="1" t="inlineStr">
        <is>
          <t>Image Generation Provider Comparison — line_art / AI Imagine (Cheeko toy)</t>
        </is>
      </c>
    </row>
    <row r="2">
      <c r="A2" s="2" t="inlineStr">
        <is>
          <t>Verified July 2026 (deep research + Runware live pricing pages). Volume assumption: 3,000 images/day at &lt;=1MP (320x240 LCD / 384px line art).</t>
        </is>
      </c>
    </row>
    <row r="3"/>
    <row r="4">
      <c r="A4" s="45" t="inlineStr">
        <is>
          <t>Rank</t>
        </is>
      </c>
      <c r="B4" s="45" t="inlineStr">
        <is>
          <t>Provider / Model</t>
        </is>
      </c>
      <c r="C4" s="45" t="inlineStr">
        <is>
          <t>Latency (median)</t>
        </is>
      </c>
      <c r="D4" s="45" t="inlineStr">
        <is>
          <t>Price / image (USD)</t>
        </is>
      </c>
      <c r="E4" s="46" t="inlineStr">
        <is>
          <t>Price / image (₹)</t>
        </is>
      </c>
      <c r="F4" s="45" t="inlineStr">
        <is>
          <t>Cost / day @ 3k img</t>
        </is>
      </c>
      <c r="G4" s="46" t="inlineStr">
        <is>
          <t>Cost / day (₹)</t>
        </is>
      </c>
      <c r="H4" s="45" t="inlineStr">
        <is>
          <t>Cost / month</t>
        </is>
      </c>
      <c r="I4" s="46" t="inlineStr">
        <is>
          <t>Cost / month (₹)</t>
        </is>
      </c>
      <c r="J4" s="45" t="inlineStr">
        <is>
          <t>Safety filters</t>
        </is>
      </c>
      <c r="K4" s="45" t="inlineStr">
        <is>
          <t>Reliability / SLA</t>
        </is>
      </c>
      <c r="L4" s="45" t="inlineStr">
        <is>
          <t>Verdict</t>
        </is>
      </c>
    </row>
    <row r="5">
      <c r="A5" s="47" t="inlineStr">
        <is>
          <t>Current -&gt; Fallback</t>
        </is>
      </c>
      <c r="B5" s="47" t="inlineStr">
        <is>
          <t>HuggingFace Inference API — FLUX.1 schnell</t>
        </is>
      </c>
      <c r="C5" s="47" t="inlineStr">
        <is>
          <t>Variable, queue-based</t>
        </is>
      </c>
      <c r="D5" s="47" t="inlineStr">
        <is>
          <t>Free tier (throttled)</t>
        </is>
      </c>
      <c r="E5" s="48" t="inlineStr">
        <is>
          <t>N/A</t>
        </is>
      </c>
      <c r="F5" s="47" t="inlineStr">
        <is>
          <t>N/A</t>
        </is>
      </c>
      <c r="G5" s="48" t="inlineStr">
        <is>
          <t>N/A</t>
        </is>
      </c>
      <c r="H5" s="47" t="inlineStr">
        <is>
          <t>N/A</t>
        </is>
      </c>
      <c r="I5" s="48" t="inlineStr">
        <is>
          <t>N/A</t>
        </is>
      </c>
      <c r="J5" s="47" t="inlineStr">
        <is>
          <t>None</t>
        </is>
      </c>
      <c r="K5" s="47" t="inlineStr">
        <is>
          <t>No SLA, rate limits, cold starts</t>
        </is>
      </c>
      <c r="L5" s="47" t="inlineStr">
        <is>
          <t>Keep as last-resort fallback — already implemented, free; fine when primary is down</t>
        </is>
      </c>
    </row>
    <row r="6">
      <c r="A6" s="47" t="inlineStr">
        <is>
          <t>1 - Primary candidate</t>
        </is>
      </c>
      <c r="B6" s="47" t="inlineStr">
        <is>
          <t>Runware — FLUX.2 klein 4B</t>
        </is>
      </c>
      <c r="C6" s="47" t="inlineStr">
        <is>
          <t>2.4–3.8 s (schnell-class benchmark)</t>
        </is>
      </c>
      <c r="D6" s="49" t="n">
        <v>0.0005999999999999999</v>
      </c>
      <c r="E6" s="9">
        <f>D6*'Total Cost Summary'!$B$3</f>
        <v/>
      </c>
      <c r="F6" s="50">
        <f>D6*$B$13</f>
        <v/>
      </c>
      <c r="G6" s="11">
        <f>F6*'Total Cost Summary'!$B$3</f>
        <v/>
      </c>
      <c r="H6" s="51">
        <f>F6*30</f>
        <v/>
      </c>
      <c r="I6" s="52">
        <f>H6*'Total Cost Summary'!$B$3</f>
        <v/>
      </c>
      <c r="J6" s="47" t="inlineStr">
        <is>
          <t>Unverified — assume none; Groq moderation layer carries it</t>
        </is>
      </c>
      <c r="K6" s="47" t="inlineStr">
        <is>
          <t>No published SLA — needs trial week</t>
        </is>
      </c>
      <c r="L6" s="47" t="inlineStr">
        <is>
          <t>Cheapest + newest model; A/B test before production</t>
        </is>
      </c>
    </row>
    <row r="7">
      <c r="A7" s="47" t="inlineStr">
        <is>
          <t>2 - Safe primary</t>
        </is>
      </c>
      <c r="B7" s="47" t="inlineStr">
        <is>
          <t>fal.ai — FLUX.1 schnell (or klein)</t>
        </is>
      </c>
      <c r="C7" s="47" t="inlineStr">
        <is>
          <t>1.3–1.4 s</t>
        </is>
      </c>
      <c r="D7" s="49" t="n">
        <v>0.003</v>
      </c>
      <c r="E7" s="9">
        <f>D7*'Total Cost Summary'!$B$3</f>
        <v/>
      </c>
      <c r="F7" s="50">
        <f>D7*$B$13</f>
        <v/>
      </c>
      <c r="G7" s="11">
        <f>F7*'Total Cost Summary'!$B$3</f>
        <v/>
      </c>
      <c r="H7" s="51">
        <f>F7*30</f>
        <v/>
      </c>
      <c r="I7" s="52">
        <f>H7*'Total Cost Summary'!$B$3</f>
        <v/>
      </c>
      <c r="J7" s="47" t="inlineStr">
        <is>
          <t>Safety checker ON by default + per-image NSFW flags</t>
        </is>
      </c>
      <c r="K7" s="47" t="inlineStr">
        <is>
          <t>Latency leader, good reputation; SLA unverified</t>
        </is>
      </c>
      <c r="L7" s="47" t="inlineStr">
        <is>
          <t>Best latency + built-in safety; 5x Runware price</t>
        </is>
      </c>
    </row>
    <row r="8">
      <c r="A8" s="47" t="inlineStr">
        <is>
          <t>3 - Fallback</t>
        </is>
      </c>
      <c r="B8" s="47" t="inlineStr">
        <is>
          <t>Google Imagen 4 Fast (Vertex AI)</t>
        </is>
      </c>
      <c r="C8" s="47" t="inlineStr">
        <is>
          <t>3–6 s</t>
        </is>
      </c>
      <c r="D8" s="49" t="n">
        <v>0.02</v>
      </c>
      <c r="E8" s="9">
        <f>D8*'Total Cost Summary'!$B$3</f>
        <v/>
      </c>
      <c r="F8" s="50">
        <f>D8*$B$13</f>
        <v/>
      </c>
      <c r="G8" s="11">
        <f>F8*'Total Cost Summary'!$B$3</f>
        <v/>
      </c>
      <c r="H8" s="51">
        <f>F8*30</f>
        <v/>
      </c>
      <c r="I8" s="52">
        <f>H8*'Total Cost Summary'!$B$3</f>
        <v/>
      </c>
      <c r="J8" s="47" t="inlineStr">
        <is>
          <t>Strongest: tunable thresholds + personGeneration=dont_allow (no faces)</t>
        </is>
      </c>
      <c r="K8" s="47" t="inlineStr">
        <is>
          <t>Contractual GCP SLA (only one)</t>
        </is>
      </c>
      <c r="L8" s="47" t="inlineStr">
        <is>
          <t>Reliability / safety fallback tier</t>
        </is>
      </c>
    </row>
    <row r="9">
      <c r="A9" s="47" t="inlineStr">
        <is>
          <t>4</t>
        </is>
      </c>
      <c r="B9" s="47" t="inlineStr">
        <is>
          <t>DeepInfra — FLUX schnell / klein</t>
        </is>
      </c>
      <c r="C9" s="47" t="inlineStr">
        <is>
          <t>0.6–0.7 s</t>
        </is>
      </c>
      <c r="D9" s="49" t="n">
        <v>0.002</v>
      </c>
      <c r="E9" s="9">
        <f>D9*'Total Cost Summary'!$B$3</f>
        <v/>
      </c>
      <c r="F9" s="50">
        <f>D9*$B$13</f>
        <v/>
      </c>
      <c r="G9" s="11">
        <f>F9*'Total Cost Summary'!$B$3</f>
        <v/>
      </c>
      <c r="H9" s="51">
        <f>F9*30</f>
        <v/>
      </c>
      <c r="I9" s="52">
        <f>H9*'Total Cost Summary'!$B$3</f>
        <v/>
      </c>
      <c r="J9" s="47" t="inlineStr">
        <is>
          <t>Basic, not child-focused</t>
        </is>
      </c>
      <c r="K9" s="47" t="inlineStr">
        <is>
          <t>Decent reputation, no SLA</t>
        </is>
      </c>
      <c r="L9" s="47" t="inlineStr">
        <is>
          <t>Fast + cheap backup</t>
        </is>
      </c>
    </row>
    <row r="10">
      <c r="A10" s="47" t="inlineStr">
        <is>
          <t>5</t>
        </is>
      </c>
      <c r="B10" s="47" t="inlineStr">
        <is>
          <t>Together AI — FLUX schnell</t>
        </is>
      </c>
      <c r="C10" s="47" t="inlineStr">
        <is>
          <t>1.6–2.2 s</t>
        </is>
      </c>
      <c r="D10" s="49" t="n">
        <v>0.003</v>
      </c>
      <c r="E10" s="9">
        <f>D10*'Total Cost Summary'!$B$3</f>
        <v/>
      </c>
      <c r="F10" s="50">
        <f>D10*$B$13</f>
        <v/>
      </c>
      <c r="G10" s="11">
        <f>F10*'Total Cost Summary'!$B$3</f>
        <v/>
      </c>
      <c r="H10" s="51">
        <f>F10*30</f>
        <v/>
      </c>
      <c r="I10" s="52">
        <f>H10*'Total Cost Summary'!$B$3</f>
        <v/>
      </c>
      <c r="J10" s="47" t="inlineStr">
        <is>
          <t>Basic NSFW</t>
        </is>
      </c>
      <c r="K10" s="47" t="inlineStr">
        <is>
          <t>Established; schnell availability needs re-confirming</t>
        </is>
      </c>
      <c r="L10" s="47" t="inlineStr">
        <is>
          <t>Fine but no edge</t>
        </is>
      </c>
    </row>
    <row r="11">
      <c r="A11" s="47" t="inlineStr">
        <is>
          <t>6</t>
        </is>
      </c>
      <c r="B11" s="47" t="inlineStr">
        <is>
          <t>Replicate — FLUX schnell</t>
        </is>
      </c>
      <c r="C11" s="47" t="inlineStr">
        <is>
          <t>2.6–6.9 s (most variable)</t>
        </is>
      </c>
      <c r="D11" s="49" t="n">
        <v>0.003</v>
      </c>
      <c r="E11" s="9">
        <f>D11*'Total Cost Summary'!$B$3</f>
        <v/>
      </c>
      <c r="F11" s="50">
        <f>D11*$B$13</f>
        <v/>
      </c>
      <c r="G11" s="11">
        <f>F11*'Total Cost Summary'!$B$3</f>
        <v/>
      </c>
      <c r="H11" s="51">
        <f>F11*30</f>
        <v/>
      </c>
      <c r="I11" s="52">
        <f>H11*'Total Cost Summary'!$B$3</f>
        <v/>
      </c>
      <c r="J11" s="47" t="inlineStr">
        <is>
          <t>Basic</t>
        </is>
      </c>
      <c r="K11" s="47" t="inlineStr">
        <is>
          <t>Adds 2–3 s queue latency per request</t>
        </is>
      </c>
      <c r="L11" s="47" t="inlineStr">
        <is>
          <t>Weakest latency consistency — last pick</t>
        </is>
      </c>
    </row>
    <row r="12"/>
    <row r="13">
      <c r="A13" s="53" t="inlineStr">
        <is>
          <t>Images per day:</t>
        </is>
      </c>
      <c r="B13" s="54" t="n">
        <v>3000</v>
      </c>
    </row>
    <row r="14"/>
    <row r="15">
      <c r="A15" s="53" t="inlineStr">
        <is>
          <t>Notes:</t>
        </is>
      </c>
    </row>
    <row r="16">
      <c r="A16" s="55" t="inlineStr">
        <is>
          <t>- Recommended architecture: Runware klein 4B primary (after trial A/B) -&gt; HuggingFace (existing code) as last-resort fallback -&gt; fallback.jpg if both fail.</t>
        </is>
      </c>
    </row>
    <row r="17">
      <c r="A17" s="55" t="inlineStr">
        <is>
          <t>- Groq LLM moderation layer stays MANDATORY on every provider — no provider filter is child-appropriateness grade.</t>
        </is>
      </c>
    </row>
    <row r="18">
      <c r="A18" s="55" t="inlineStr">
        <is>
          <t>- On Runware, FLUX.2 klein 4B strictly dominates schnell: 2.2x cheaper at 1024x1024, newer, better prompt adherence.</t>
        </is>
      </c>
    </row>
    <row r="19">
      <c r="A19" s="55" t="inlineStr">
        <is>
          <t>- Excluded: OpenAI gpt-image (up to 2 min generations, blows 90 s gateway timeout; ToS restricts under-13 products), Prodia (unvetted), Stability (pricing unverified).</t>
        </is>
      </c>
    </row>
    <row r="20">
      <c r="A20" s="55" t="inlineStr">
        <is>
          <t>- Latency = Artificial Analysis 14-day rolling medians (API generation time, not end-to-end). Pricing verified against live vendor pages 2026-07-08.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16" customWidth="1" min="4" max="4"/>
    <col width="12" customWidth="1" min="5" max="5"/>
    <col width="48" customWidth="1" min="6" max="6"/>
  </cols>
  <sheetData>
    <row r="1">
      <c r="A1" s="56" t="inlineStr">
        <is>
          <t>Runware FLUX model pricing (from live pricing page, 2026-07-08)</t>
        </is>
      </c>
    </row>
    <row r="2"/>
    <row r="3">
      <c r="A3" s="5" t="inlineStr">
        <is>
          <t>Model</t>
        </is>
      </c>
      <c r="B3" s="5" t="inlineStr">
        <is>
          <t>Config</t>
        </is>
      </c>
      <c r="C3" s="5" t="inlineStr">
        <is>
          <t>Price / image (USD)</t>
        </is>
      </c>
      <c r="D3" s="6" t="inlineStr">
        <is>
          <t>Price / image (₹)</t>
        </is>
      </c>
      <c r="E3" s="5" t="inlineStr">
        <is>
          <t>Runs per $1</t>
        </is>
      </c>
      <c r="F3" s="5" t="inlineStr">
        <is>
          <t>Note</t>
        </is>
      </c>
    </row>
    <row r="4">
      <c r="A4" s="7" t="inlineStr">
        <is>
          <t>FLUX.1 [schnell]</t>
        </is>
      </c>
      <c r="B4" s="7" t="inlineStr">
        <is>
          <t>512x512, 4 steps</t>
        </is>
      </c>
      <c r="C4" s="57" t="n">
        <v>0.0005999999999999999</v>
      </c>
      <c r="D4" s="9">
        <f>C4*'Total Cost Summary'!$B$3</f>
        <v/>
      </c>
      <c r="E4" s="58">
        <f>1/C4</f>
        <v/>
      </c>
      <c r="F4" s="7" t="inlineStr">
        <is>
          <t>Matches our size class</t>
        </is>
      </c>
    </row>
    <row r="5">
      <c r="A5" s="7" t="inlineStr">
        <is>
          <t>FLUX.1 [schnell]</t>
        </is>
      </c>
      <c r="B5" s="7" t="inlineStr">
        <is>
          <t>1024x1024, 4 steps</t>
        </is>
      </c>
      <c r="C5" s="57" t="n">
        <v>0.0013</v>
      </c>
      <c r="D5" s="9">
        <f>C5*'Total Cost Summary'!$B$3</f>
        <v/>
      </c>
      <c r="E5" s="58">
        <f>1/C5</f>
        <v/>
      </c>
      <c r="F5" s="7" t="inlineStr">
        <is>
          <t>Bigger than we need</t>
        </is>
      </c>
    </row>
    <row r="6">
      <c r="A6" s="7" t="inlineStr">
        <is>
          <t>FLUX.2 [klein] 4B (distilled)</t>
        </is>
      </c>
      <c r="B6" s="7" t="inlineStr">
        <is>
          <t>1024x1024</t>
        </is>
      </c>
      <c r="C6" s="57" t="n">
        <v>0.0005999999999999999</v>
      </c>
      <c r="D6" s="9">
        <f>C6*'Total Cost Summary'!$B$3</f>
        <v/>
      </c>
      <c r="E6" s="58">
        <f>1/C6</f>
        <v/>
      </c>
      <c r="F6" s="7" t="inlineStr">
        <is>
          <t>RECOMMENDED — successor to schnell, same floor price</t>
        </is>
      </c>
    </row>
    <row r="7">
      <c r="A7" s="7" t="inlineStr">
        <is>
          <t>FLUX.2 [klein] 9B</t>
        </is>
      </c>
      <c r="B7" s="7" t="inlineStr">
        <is>
          <t>default</t>
        </is>
      </c>
      <c r="C7" s="57" t="n">
        <v>0.00078</v>
      </c>
      <c r="D7" s="9">
        <f>C7*'Total Cost Summary'!$B$3</f>
        <v/>
      </c>
      <c r="E7" s="58">
        <f>1/C7</f>
        <v/>
      </c>
      <c r="F7" s="7" t="inlineStr">
        <is>
          <t>Slightly better quality, +30% cost</t>
        </is>
      </c>
    </row>
    <row r="8">
      <c r="A8" s="7" t="inlineStr">
        <is>
          <t>FLUX.2 [klein] 9B KV</t>
        </is>
      </c>
      <c r="B8" s="7" t="inlineStr">
        <is>
          <t>default</t>
        </is>
      </c>
      <c r="C8" s="57" t="n">
        <v>0.00169</v>
      </c>
      <c r="D8" s="9">
        <f>C8*'Total Cost Summary'!$B$3</f>
        <v/>
      </c>
      <c r="E8" s="58">
        <f>1/C8</f>
        <v/>
      </c>
      <c r="F8" s="7" t="inlineStr">
        <is>
          <t>KV variant</t>
        </is>
      </c>
    </row>
    <row r="9">
      <c r="A9" s="7" t="inlineStr">
        <is>
          <t>FLUX.2 [klein] 4B Base (undistilled)</t>
        </is>
      </c>
      <c r="B9" s="7" t="inlineStr">
        <is>
          <t>1024x1024</t>
        </is>
      </c>
      <c r="C9" s="57" t="n">
        <v>0.0019</v>
      </c>
      <c r="D9" s="9">
        <f>C9*'Total Cost Summary'!$B$3</f>
        <v/>
      </c>
      <c r="E9" s="58">
        <f>1/C9</f>
        <v/>
      </c>
      <c r="F9" s="7" t="inlineStr">
        <is>
          <t>Skip — slower, pricier</t>
        </is>
      </c>
    </row>
    <row r="10">
      <c r="A10" s="7" t="inlineStr">
        <is>
          <t>FLUX.2 [klein] 9B Base (undistilled)</t>
        </is>
      </c>
      <c r="B10" s="7" t="inlineStr">
        <is>
          <t>1024x1024</t>
        </is>
      </c>
      <c r="C10" s="57" t="n">
        <v>0.00416</v>
      </c>
      <c r="D10" s="9">
        <f>C10*'Total Cost Summary'!$B$3</f>
        <v/>
      </c>
      <c r="E10" s="58">
        <f>1/C10</f>
        <v/>
      </c>
      <c r="F10" s="7" t="inlineStr">
        <is>
          <t>Skip</t>
        </is>
      </c>
    </row>
    <row r="11"/>
    <row r="12">
      <c r="A12" s="2" t="inlineStr">
        <is>
          <t>Sources: runware.ai/pricing, runware.ai/models/bfl-flux-2-klein-4b (and 9b variants), user-verified screenshots 2026-07-08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22" customWidth="1" min="4" max="4"/>
    <col width="14" customWidth="1" min="5" max="5"/>
    <col width="11" customWidth="1" min="6" max="6"/>
    <col width="13" customWidth="1" min="7" max="7"/>
    <col width="11" customWidth="1" min="8" max="8"/>
    <col width="13" customWidth="1" min="9" max="9"/>
    <col width="60" customWidth="1" min="10" max="10"/>
  </cols>
  <sheetData>
    <row r="1">
      <c r="A1" s="1" t="inlineStr">
        <is>
          <t>STT Provider Pricing Comparison (verified July 2026)</t>
        </is>
      </c>
    </row>
    <row r="2">
      <c r="A2" s="2" t="inlineStr">
        <is>
          <t>Workload: 3,000 utterances/day x ~6 s average = ~5 hrs audio/day. Batch/pre-recorded (line_art sends whole WAVs).</t>
        </is>
      </c>
    </row>
    <row r="3"/>
    <row r="4">
      <c r="A4" s="45" t="inlineStr">
        <is>
          <t>Provider / Model</t>
        </is>
      </c>
      <c r="B4" s="45" t="inlineStr">
        <is>
          <t>Price / hr audio (USD)</t>
        </is>
      </c>
      <c r="C4" s="46" t="inlineStr">
        <is>
          <t>₹ / hr audio</t>
        </is>
      </c>
      <c r="D4" s="45" t="inlineStr">
        <is>
          <t>Billing granularity</t>
        </is>
      </c>
      <c r="E4" s="45" t="inlineStr">
        <is>
          <t>Billed hrs/day (our workload)</t>
        </is>
      </c>
      <c r="F4" s="45" t="inlineStr">
        <is>
          <t>Cost / day</t>
        </is>
      </c>
      <c r="G4" s="46" t="inlineStr">
        <is>
          <t>Cost / day (₹)</t>
        </is>
      </c>
      <c r="H4" s="45" t="inlineStr">
        <is>
          <t>Cost / month</t>
        </is>
      </c>
      <c r="I4" s="46" t="inlineStr">
        <is>
          <t>Cost / month (₹)</t>
        </is>
      </c>
      <c r="J4" s="45" t="inlineStr">
        <is>
          <t>Notes for us</t>
        </is>
      </c>
    </row>
    <row r="5">
      <c r="A5" s="47" t="inlineStr">
        <is>
          <t>Groq — Whisper large-v3-turbo (RECOMMENDED last-resort)</t>
        </is>
      </c>
      <c r="B5" s="59" t="n">
        <v>0.04</v>
      </c>
      <c r="C5" s="11">
        <f>B5*'Total Cost Summary'!$B$3</f>
        <v/>
      </c>
      <c r="D5" s="47" t="inlineStr">
        <is>
          <t>10-second MINIMUM per request</t>
        </is>
      </c>
      <c r="E5" s="60" t="n">
        <v>8.33</v>
      </c>
      <c r="F5" s="61">
        <f>B5*E5</f>
        <v/>
      </c>
      <c r="G5" s="11">
        <f>F5*'Total Cost Summary'!$B$3</f>
        <v/>
      </c>
      <c r="H5" s="61">
        <f>F5*30</f>
        <v/>
      </c>
      <c r="I5" s="52">
        <f>H5*'Total Cost Summary'!$B$3</f>
        <v/>
      </c>
      <c r="J5" s="47" t="inlineStr">
        <is>
          <t>Cheapest overall; 228x real-time. Kid clips are 3-8 s so the 10 s minimum bills ~2x actual audio. One-line GROQ_MODEL change from current.</t>
        </is>
      </c>
    </row>
    <row r="6">
      <c r="A6" s="47" t="inlineStr">
        <is>
          <t>Groq — Whisper large-v3 (current GROQ_MODEL)</t>
        </is>
      </c>
      <c r="B6" s="59" t="n">
        <v>0.111</v>
      </c>
      <c r="C6" s="11">
        <f>B6*'Total Cost Summary'!$B$3</f>
        <v/>
      </c>
      <c r="D6" s="47" t="inlineStr">
        <is>
          <t>10-second minimum per request</t>
        </is>
      </c>
      <c r="E6" s="60" t="n">
        <v>8.33</v>
      </c>
      <c r="F6" s="61">
        <f>B6*E6</f>
        <v/>
      </c>
      <c r="G6" s="11">
        <f>F6*'Total Cost Summary'!$B$3</f>
        <v/>
      </c>
      <c r="H6" s="61">
        <f>F6*30</f>
        <v/>
      </c>
      <c r="I6" s="52">
        <f>H6*'Total Cost Summary'!$B$3</f>
        <v/>
      </c>
      <c r="J6" s="47" t="inlineStr">
        <is>
          <t>2.8x turbo price for marginal quality gain on short clear utterances — switch to turbo.</t>
        </is>
      </c>
    </row>
    <row r="7">
      <c r="A7" s="47" t="inlineStr">
        <is>
          <t>Deepgram — Nova-3 English</t>
        </is>
      </c>
      <c r="B7" s="59" t="n">
        <v>0.258</v>
      </c>
      <c r="C7" s="11">
        <f>B7*'Total Cost Summary'!$B$3</f>
        <v/>
      </c>
      <c r="D7" s="47" t="inlineStr">
        <is>
          <t>Per-second</t>
        </is>
      </c>
      <c r="E7" s="60" t="n">
        <v>5</v>
      </c>
      <c r="F7" s="61">
        <f>B7*E7</f>
        <v/>
      </c>
      <c r="G7" s="11">
        <f>F7*'Total Cost Summary'!$B$3</f>
        <v/>
      </c>
      <c r="H7" s="61">
        <f>F7*30</f>
        <v/>
      </c>
      <c r="I7" s="52">
        <f>H7*'Total Cost Summary'!$B$3</f>
        <v/>
      </c>
      <c r="J7" s="47" t="inlineStr">
        <is>
          <t>Per-second billing suits short clips; $200 free credit; best streaming story.</t>
        </is>
      </c>
    </row>
    <row r="8">
      <c r="A8" s="47" t="inlineStr">
        <is>
          <t>Deepgram — Nova-3 multilingual</t>
        </is>
      </c>
      <c r="B8" s="59" t="n">
        <v>0.312</v>
      </c>
      <c r="C8" s="11">
        <f>B8*'Total Cost Summary'!$B$3</f>
        <v/>
      </c>
      <c r="D8" s="47" t="inlineStr">
        <is>
          <t>Per-second</t>
        </is>
      </c>
      <c r="E8" s="60" t="n">
        <v>5</v>
      </c>
      <c r="F8" s="61">
        <f>B8*E8</f>
        <v/>
      </c>
      <c r="G8" s="11">
        <f>F8*'Total Cost Summary'!$B$3</f>
        <v/>
      </c>
      <c r="H8" s="61">
        <f>F8*30</f>
        <v/>
      </c>
      <c r="I8" s="52">
        <f>H8*'Total Cost Summary'!$B$3</f>
        <v/>
      </c>
      <c r="J8" s="47" t="inlineStr">
        <is>
          <t>For Hindi+English code-switching kids.</t>
        </is>
      </c>
    </row>
    <row r="9">
      <c r="A9" s="47" t="inlineStr">
        <is>
          <t>Sarvam — Saarika (active provider for India)</t>
        </is>
      </c>
      <c r="B9" s="59" t="n">
        <v>0.36</v>
      </c>
      <c r="C9" s="11">
        <f>B9*'Total Cost Summary'!$B$3</f>
        <v/>
      </c>
      <c r="D9" s="47" t="inlineStr">
        <is>
          <t>Per audio minute</t>
        </is>
      </c>
      <c r="E9" s="60" t="n">
        <v>5</v>
      </c>
      <c r="F9" s="61">
        <f>B9*E9</f>
        <v/>
      </c>
      <c r="G9" s="11">
        <f>F9*'Total Cost Summary'!$B$3</f>
        <v/>
      </c>
      <c r="H9" s="61">
        <f>F9*30</f>
        <v/>
      </c>
      <c r="I9" s="52">
        <f>H9*'Total Cost Summary'!$B$3</f>
        <v/>
      </c>
      <c r="J9" s="47" t="inlineStr">
        <is>
          <t>Best Indian-language accuracy — earns its slot on accuracy, not price. Rs.30/hr.</t>
        </is>
      </c>
    </row>
    <row r="10">
      <c r="A10" s="47" t="inlineStr">
        <is>
          <t>ElevenLabs Scribe</t>
        </is>
      </c>
      <c r="B10" s="59" t="n">
        <v>0.22</v>
      </c>
      <c r="C10" s="11">
        <f>B10*'Total Cost Summary'!$B$3</f>
        <v/>
      </c>
      <c r="D10" s="47" t="inlineStr">
        <is>
          <t>—</t>
        </is>
      </c>
      <c r="E10" s="60" t="n">
        <v>5</v>
      </c>
      <c r="F10" s="61">
        <f>B10*E10</f>
        <v/>
      </c>
      <c r="G10" s="11">
        <f>F10*'Total Cost Summary'!$B$3</f>
        <v/>
      </c>
      <c r="H10" s="61">
        <f>F10*30</f>
        <v/>
      </c>
      <c r="I10" s="52">
        <f>H10*'Total Cost Summary'!$B$3</f>
        <v/>
      </c>
      <c r="J10" s="47" t="inlineStr">
        <is>
          <t>Strong accuracy, newer entrant.</t>
        </is>
      </c>
    </row>
    <row r="11">
      <c r="A11" s="47" t="inlineStr">
        <is>
          <t>OpenAI gpt-4o-mini-transcribe</t>
        </is>
      </c>
      <c r="B11" s="59" t="n">
        <v>0.18</v>
      </c>
      <c r="C11" s="11">
        <f>B11*'Total Cost Summary'!$B$3</f>
        <v/>
      </c>
      <c r="D11" s="47" t="inlineStr">
        <is>
          <t>—</t>
        </is>
      </c>
      <c r="E11" s="60" t="n">
        <v>5</v>
      </c>
      <c r="F11" s="61">
        <f>B11*E11</f>
        <v/>
      </c>
      <c r="G11" s="11">
        <f>F11*'Total Cost Summary'!$B$3</f>
        <v/>
      </c>
      <c r="H11" s="61">
        <f>F11*30</f>
        <v/>
      </c>
      <c r="I11" s="52">
        <f>H11*'Total Cost Summary'!$B$3</f>
        <v/>
      </c>
      <c r="J11" s="47" t="inlineStr">
        <is>
          <t>Fine, but no edge over Groq/Deepgram.</t>
        </is>
      </c>
    </row>
    <row r="12">
      <c r="A12" s="47" t="inlineStr">
        <is>
          <t>AssemblyAI</t>
        </is>
      </c>
      <c r="B12" s="59" t="n">
        <v>0.37</v>
      </c>
      <c r="C12" s="11">
        <f>B12*'Total Cost Summary'!$B$3</f>
        <v/>
      </c>
      <c r="D12" s="47" t="inlineStr">
        <is>
          <t>—</t>
        </is>
      </c>
      <c r="E12" s="60" t="n">
        <v>5</v>
      </c>
      <c r="F12" s="61">
        <f>B12*E12</f>
        <v/>
      </c>
      <c r="G12" s="11">
        <f>F12*'Total Cost Summary'!$B$3</f>
        <v/>
      </c>
      <c r="H12" s="61">
        <f>F12*30</f>
        <v/>
      </c>
      <c r="I12" s="52">
        <f>H12*'Total Cost Summary'!$B$3</f>
        <v/>
      </c>
      <c r="J12" s="47" t="inlineStr">
        <is>
          <t>Feature-rich (diarization etc.) — features we do not need.</t>
        </is>
      </c>
    </row>
    <row r="13"/>
    <row r="14">
      <c r="A14" s="53" t="inlineStr">
        <is>
          <t>Takeaways:</t>
        </is>
      </c>
    </row>
    <row r="15">
      <c r="A15" s="55" t="inlineStr">
        <is>
          <t>- STT cost is a rounding error ($0.33-$1.85/day) — image gen dominates the bill. Pick STT on accuracy + latency, not price.</t>
        </is>
      </c>
    </row>
    <row r="16">
      <c r="A16" s="55" t="inlineStr">
        <is>
          <t>- One real optimization: switch GROQ_MODEL from whisper-large-v3 to whisper-large-v3-turbo (2.8x cheaper, faster, near-identical on short utterances).</t>
        </is>
      </c>
    </row>
    <row r="17">
      <c r="A17" s="55" t="inlineStr">
        <is>
          <t>- Groq's 10 s billing minimum doubles effective cost on 3-6 s kid clips; Deepgram bills per second, so it is ~2.5x Groq turbo at our clip lengths, not 6x.</t>
        </is>
      </c>
    </row>
    <row r="18">
      <c r="A18" s="55" t="inlineStr">
        <is>
          <t>- Keep the manager-api switching architecture: Sarvam active for Indian users (accuracy), Groq turbo as last-resort fallback.</t>
        </is>
      </c>
    </row>
    <row r="19">
      <c r="A19" s="55" t="inlineStr">
        <is>
          <t>- Sources: groq.com/pricing, deepgram.com/pricing, docs.sarvam.ai/api-reference-docs/pricing, elevenlabs.io/pricing/api, assemblyai.com/pricing.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20" customWidth="1" min="10" max="10"/>
    <col width="62" customWidth="1" min="11" max="11"/>
  </cols>
  <sheetData>
    <row r="1">
      <c r="A1" s="1" t="inlineStr">
        <is>
          <t>Moderation (child-safety prompt check) — lite model comparison (verified July 2026)</t>
        </is>
      </c>
    </row>
    <row r="2">
      <c r="A2" s="2" t="inlineStr">
        <is>
          <t>Workload: 3,000 checks/day, ~150 input + ~20 output tokens per check. Current: Groq llama-3.1-8b-instant in app/moderation.py.</t>
        </is>
      </c>
    </row>
    <row r="3"/>
    <row r="4">
      <c r="A4" s="45" t="inlineStr">
        <is>
          <t>Provider / Model</t>
        </is>
      </c>
      <c r="B4" s="45" t="inlineStr">
        <is>
          <t>Input $/1M tok</t>
        </is>
      </c>
      <c r="C4" s="46" t="inlineStr">
        <is>
          <t>Input ₹/1M</t>
        </is>
      </c>
      <c r="D4" s="45" t="inlineStr">
        <is>
          <t>Output $/1M tok</t>
        </is>
      </c>
      <c r="E4" s="46" t="inlineStr">
        <is>
          <t>Output ₹/1M</t>
        </is>
      </c>
      <c r="F4" s="45" t="inlineStr">
        <is>
          <t>Cost / day</t>
        </is>
      </c>
      <c r="G4" s="46" t="inlineStr">
        <is>
          <t>Cost / day (₹)</t>
        </is>
      </c>
      <c r="H4" s="45" t="inlineStr">
        <is>
          <t>Cost / month</t>
        </is>
      </c>
      <c r="I4" s="46" t="inlineStr">
        <is>
          <t>Cost / month (₹)</t>
        </is>
      </c>
      <c r="J4" s="45" t="inlineStr">
        <is>
          <t>Type</t>
        </is>
      </c>
      <c r="K4" s="45" t="inlineStr">
        <is>
          <t>Notes for us</t>
        </is>
      </c>
    </row>
    <row r="5">
      <c r="A5" s="47" t="inlineStr">
        <is>
          <t>Groq — llama-3.1-8b-instant (CURRENT)</t>
        </is>
      </c>
      <c r="B5" s="62" t="n">
        <v>0.05</v>
      </c>
      <c r="C5" s="11">
        <f>B5*'Total Cost Summary'!$B$3</f>
        <v/>
      </c>
      <c r="D5" s="62" t="n">
        <v>0.08</v>
      </c>
      <c r="E5" s="11">
        <f>D5*'Total Cost Summary'!$B$3</f>
        <v/>
      </c>
      <c r="F5" s="63">
        <f>(B5*150+D5*20)*3000/1000000</f>
        <v/>
      </c>
      <c r="G5" s="11">
        <f>F5*'Total Cost Summary'!$B$3</f>
        <v/>
      </c>
      <c r="H5" s="61">
        <f>F5*30</f>
        <v/>
      </c>
      <c r="I5" s="11">
        <f>H5*'Total Cost Summary'!$B$3</f>
        <v/>
      </c>
      <c r="J5" s="47" t="inlineStr">
        <is>
          <t>LLM judge</t>
        </is>
      </c>
      <c r="K5" s="47" t="inlineStr">
        <is>
          <t>Keep. Fastest inference, shares the GROQ_API_KEY already used for STT fallback, custom child-appropriateness prompt (multilingual). Near-free.</t>
        </is>
      </c>
    </row>
    <row r="6">
      <c r="A6" s="47" t="inlineStr">
        <is>
          <t>OpenAI — omni-moderation-latest</t>
        </is>
      </c>
      <c r="B6" s="62" t="n">
        <v>0</v>
      </c>
      <c r="C6" s="11">
        <f>B6*'Total Cost Summary'!$B$3</f>
        <v/>
      </c>
      <c r="D6" s="62" t="n">
        <v>0</v>
      </c>
      <c r="E6" s="11">
        <f>D6*'Total Cost Summary'!$B$3</f>
        <v/>
      </c>
      <c r="F6" s="63">
        <f>(B6*150+D6*20)*3000/1000000</f>
        <v/>
      </c>
      <c r="G6" s="11">
        <f>F6*'Total Cost Summary'!$B$3</f>
        <v/>
      </c>
      <c r="H6" s="61">
        <f>F6*30</f>
        <v/>
      </c>
      <c r="I6" s="11">
        <f>H6*'Total Cost Summary'!$B$3</f>
        <v/>
      </c>
      <c r="J6" s="47" t="inlineStr">
        <is>
          <t>Classifier (FREE)</t>
        </is>
      </c>
      <c r="K6" s="47" t="inlineStr">
        <is>
          <t>FREE dedicated moderation endpoint. Fixed categories (sexual/violence/self-harm...) — NOT child-appropriateness. Good as an extra zero-cost layer, not a replacement.</t>
        </is>
      </c>
    </row>
    <row r="7">
      <c r="A7" s="47" t="inlineStr">
        <is>
          <t>OpenAI — gpt-4o-mini</t>
        </is>
      </c>
      <c r="B7" s="62" t="n">
        <v>0.15</v>
      </c>
      <c r="C7" s="11">
        <f>B7*'Total Cost Summary'!$B$3</f>
        <v/>
      </c>
      <c r="D7" s="62" t="n">
        <v>0.6</v>
      </c>
      <c r="E7" s="11">
        <f>D7*'Total Cost Summary'!$B$3</f>
        <v/>
      </c>
      <c r="F7" s="63">
        <f>(B7*150+D7*20)*3000/1000000</f>
        <v/>
      </c>
      <c r="G7" s="11">
        <f>F7*'Total Cost Summary'!$B$3</f>
        <v/>
      </c>
      <c r="H7" s="61">
        <f>F7*30</f>
        <v/>
      </c>
      <c r="I7" s="11">
        <f>H7*'Total Cost Summary'!$B$3</f>
        <v/>
      </c>
      <c r="J7" s="47" t="inlineStr">
        <is>
          <t>LLM judge</t>
        </is>
      </c>
      <c r="K7" s="47" t="inlineStr">
        <is>
          <t>Works fine, ~4x current cost (still pennies). Only worth it if you already hold an OpenAI key. ToS restricts under-13-directed products — review before use.</t>
        </is>
      </c>
    </row>
    <row r="8">
      <c r="A8" s="47" t="inlineStr">
        <is>
          <t>OpenRouter — Gemma 3 4B</t>
        </is>
      </c>
      <c r="B8" s="62" t="n">
        <v>0.05</v>
      </c>
      <c r="C8" s="11">
        <f>B8*'Total Cost Summary'!$B$3</f>
        <v/>
      </c>
      <c r="D8" s="62" t="n">
        <v>0.1</v>
      </c>
      <c r="E8" s="11">
        <f>D8*'Total Cost Summary'!$B$3</f>
        <v/>
      </c>
      <c r="F8" s="63">
        <f>(B8*150+D8*20)*3000/1000000</f>
        <v/>
      </c>
      <c r="G8" s="11">
        <f>F8*'Total Cost Summary'!$B$3</f>
        <v/>
      </c>
      <c r="H8" s="61">
        <f>F8*30</f>
        <v/>
      </c>
      <c r="I8" s="11">
        <f>H8*'Total Cost Summary'!$B$3</f>
        <v/>
      </c>
      <c r="J8" s="47" t="inlineStr">
        <is>
          <t>LLM judge</t>
        </is>
      </c>
      <c r="K8" s="47" t="inlineStr">
        <is>
          <t>Same price class as current. Adds an extra vendor + routing hop for no gain.</t>
        </is>
      </c>
    </row>
    <row r="9">
      <c r="A9" s="47" t="inlineStr">
        <is>
          <t>OpenRouter — Gemma 4 31B :free</t>
        </is>
      </c>
      <c r="B9" s="62" t="n">
        <v>0</v>
      </c>
      <c r="C9" s="11">
        <f>B9*'Total Cost Summary'!$B$3</f>
        <v/>
      </c>
      <c r="D9" s="62" t="n">
        <v>0</v>
      </c>
      <c r="E9" s="11">
        <f>D9*'Total Cost Summary'!$B$3</f>
        <v/>
      </c>
      <c r="F9" s="63">
        <f>(B9*150+D9*20)*3000/1000000</f>
        <v/>
      </c>
      <c r="G9" s="11">
        <f>F9*'Total Cost Summary'!$B$3</f>
        <v/>
      </c>
      <c r="H9" s="61">
        <f>F9*30</f>
        <v/>
      </c>
      <c r="I9" s="11">
        <f>H9*'Total Cost Summary'!$B$3</f>
        <v/>
      </c>
      <c r="J9" s="47" t="inlineStr">
        <is>
          <t>LLM judge (free tier)</t>
        </is>
      </c>
      <c r="K9" s="47" t="inlineStr">
        <is>
          <t>Genuinely $0 but free-tier: rate limits, no SLA, provider may log/train on data — NOT for a production kids product. Dev/testing only.</t>
        </is>
      </c>
    </row>
    <row r="10">
      <c r="A10" s="47" t="inlineStr">
        <is>
          <t>Groq — Llama Guard 4 12B</t>
        </is>
      </c>
      <c r="B10" s="47" t="inlineStr">
        <is>
          <t>not published</t>
        </is>
      </c>
      <c r="D10" s="47" t="inlineStr">
        <is>
          <t>not published</t>
        </is>
      </c>
      <c r="F10" s="47" t="n"/>
      <c r="H10" s="47" t="n"/>
      <c r="J10" s="47" t="inlineStr">
        <is>
          <t>Safety classifier</t>
        </is>
      </c>
      <c r="K10" s="47" t="inlineStr">
        <is>
          <t>Purpose-built safety classifier, same Groq key. Pricing not published on the pages checked — verify in Groq console. Fixed taxonomy, so pair with (not replace) the custom prompt.</t>
        </is>
      </c>
    </row>
    <row r="11"/>
    <row r="12">
      <c r="A12" s="53" t="inlineStr">
        <is>
          <t>Recommendation:</t>
        </is>
      </c>
    </row>
    <row r="13">
      <c r="A13" s="55" t="inlineStr">
        <is>
          <t>- KEEP Groq llama-3.1-8b-instant as the primary judge — $0.03/day is unbeatable-enough, one API key, fastest latency, and the custom prompt is child-appropriateness-aware.</t>
        </is>
      </c>
    </row>
    <row r="14">
      <c r="A14" s="55" t="inlineStr">
        <is>
          <t>- OPTIONALLY add OpenAI omni-moderation-latest as a second free layer (classifier catches categories the LLM prompt might miss); it costs $0 and one extra HTTP call.</t>
        </is>
      </c>
    </row>
    <row r="15">
      <c r="A15" s="55" t="inlineStr">
        <is>
          <t>- Do NOT use OpenRouter :free tiers in production for a kids product (rate limits, no SLA, data-use policy).</t>
        </is>
      </c>
    </row>
    <row r="16">
      <c r="A16" s="55" t="inlineStr">
        <is>
          <t>- Moderation is the cheapest stage of the whole pipeline (&lt;$1/month on every paid option) — optimize for catch-rate and latency, never price.</t>
        </is>
      </c>
    </row>
    <row r="17">
      <c r="A17" s="55" t="inlineStr">
        <is>
          <t>- Sources: developers.openai.com/api/docs/pricing, platform.openai.com/docs/models/omni-moderation-latest, openrouter.ai/google/gemma-3-4b-it, openrouter.ai/google/gemma-4-31b-it:free, groq.com/pricing.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2026-07-08T15:44:25Z</dcterms:created>
  <dcterms:modified xmlns:dcterms="http://purl.org/dc/terms/" xmlns:xsi="http://www.w3.org/2001/XMLSchema-instance" xsi:type="dcterms:W3CDTF">2026-07-08T15:44:25Z</dcterms:modified>
</cp:coreProperties>
</file>